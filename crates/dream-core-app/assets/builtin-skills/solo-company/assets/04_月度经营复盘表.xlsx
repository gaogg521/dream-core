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极简记账" sheetId="1" state="visible" r:id="rId1"/>
    <sheet xmlns:r="http://schemas.openxmlformats.org/officeDocument/2006/relationships" name="月度复盘" sheetId="2" state="visible" r:id="rId2"/>
    <sheet xmlns:r="http://schemas.openxmlformats.org/officeDocument/2006/relationships" name="经营仪表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3D5C"/>
      <sz val="14"/>
    </font>
    <font>
      <name val="Microsoft YaHei"/>
      <color rgb="00888888"/>
      <sz val="9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sz val="11"/>
    </font>
  </fonts>
  <fills count="5">
    <fill>
      <patternFill/>
    </fill>
    <fill>
      <patternFill patternType="gray125"/>
    </fill>
    <fill>
      <patternFill patternType="solid">
        <fgColor rgb="002E5A88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6" customWidth="1" min="5" max="5"/>
    <col width="24" customWidth="1" min="6" max="6"/>
  </cols>
  <sheetData>
    <row r="1">
      <c r="A1" s="1" t="inlineStr">
        <is>
          <t>极简记账（周记 + 月汇总）</t>
        </is>
      </c>
    </row>
    <row r="2">
      <c r="A2" s="2" t="inlineStr">
        <is>
          <t>一人公司教练 · 财务与复盘（能力模块 6）｜填蓝色列为假设值</t>
        </is>
      </c>
    </row>
    <row r="4">
      <c r="A4" s="3" t="inlineStr">
        <is>
          <t>日期</t>
        </is>
      </c>
      <c r="B4" s="3" t="inlineStr">
        <is>
          <t>收入</t>
        </is>
      </c>
      <c r="C4" s="3" t="inlineStr">
        <is>
          <t>获客成本</t>
        </is>
      </c>
      <c r="D4" s="3" t="inlineStr">
        <is>
          <t>工具成本</t>
        </is>
      </c>
      <c r="E4" s="3" t="inlineStr">
        <is>
          <t>时间成本(小时)</t>
        </is>
      </c>
      <c r="F4" s="3" t="inlineStr">
        <is>
          <t>备注</t>
        </is>
      </c>
    </row>
    <row r="5">
      <c r="A5" s="4" t="inlineStr">
        <is>
          <t>第1周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/>
    </row>
    <row r="6">
      <c r="A6" s="4" t="inlineStr">
        <is>
          <t>第2周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/>
    </row>
    <row r="7">
      <c r="A7" s="4" t="inlineStr">
        <is>
          <t>第3周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/>
    </row>
    <row r="8">
      <c r="A8" s="4" t="inlineStr">
        <is>
          <t>第4周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/>
    </row>
    <row r="9">
      <c r="A9" s="5" t="inlineStr">
        <is>
          <t>本月合计</t>
        </is>
      </c>
      <c r="B9" s="5">
        <f>SUM(B5:B8)</f>
        <v/>
      </c>
      <c r="C9" s="5">
        <f>SUM(C5:C8)</f>
        <v/>
      </c>
      <c r="D9" s="5">
        <f>SUM(D5:D8)</f>
        <v/>
      </c>
      <c r="E9" s="5">
        <f>SUM(E5:E8)</f>
        <v/>
      </c>
      <c r="F9" s="5" t="n"/>
    </row>
    <row r="10">
      <c r="A10" s="6" t="inlineStr">
        <is>
          <t>毛利 = 收入 - 获客 - 工具</t>
        </is>
      </c>
      <c r="B10" s="4">
        <f>B9-C9-D9</f>
        <v/>
      </c>
      <c r="C10" s="4" t="n"/>
      <c r="D10" s="4" t="n"/>
      <c r="E10" s="4" t="n"/>
      <c r="F10" s="4" t="n"/>
    </row>
    <row r="11">
      <c r="A11" s="6" t="inlineStr">
        <is>
          <t>时间ROI(元/小时) = 收入 / 时间成本</t>
        </is>
      </c>
      <c r="B11" s="7">
        <f>IF(E9=0,0,B9/E9)</f>
        <v/>
      </c>
      <c r="C11" s="4" t="n"/>
      <c r="D11" s="4" t="n"/>
      <c r="E11" s="4" t="n"/>
      <c r="F11" s="4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月度经营复盘</t>
        </is>
      </c>
    </row>
    <row r="3">
      <c r="A3" s="3" t="inlineStr">
        <is>
          <t>指标</t>
        </is>
      </c>
      <c r="B3" s="3" t="inlineStr">
        <is>
          <t>本月实际</t>
        </is>
      </c>
      <c r="C3" s="3" t="inlineStr">
        <is>
          <t>上月</t>
        </is>
      </c>
      <c r="D3" s="3" t="inlineStr">
        <is>
          <t>健康线 / 达标标准</t>
        </is>
      </c>
    </row>
    <row r="4">
      <c r="A4" s="4" t="inlineStr">
        <is>
          <t>营收总额</t>
        </is>
      </c>
      <c r="B4" s="4">
        <f>IF(C4=0,0,(B4-C4)/C4)</f>
        <v/>
      </c>
      <c r="C4" s="4" t="n">
        <v>0</v>
      </c>
      <c r="D4" s="4" t="inlineStr">
        <is>
          <t>环比 ≥ 10%</t>
        </is>
      </c>
    </row>
    <row r="5">
      <c r="A5" s="4" t="inlineStr">
        <is>
          <t>毛利</t>
        </is>
      </c>
      <c r="B5" s="4" t="n">
        <v>0</v>
      </c>
      <c r="C5" s="4" t="n">
        <v>0</v>
      </c>
      <c r="D5" s="4" t="inlineStr">
        <is>
          <t>毛利率 ≥ 50%</t>
        </is>
      </c>
    </row>
    <row r="6">
      <c r="A6" s="4" t="inlineStr">
        <is>
          <t>获客成本(CAC)</t>
        </is>
      </c>
      <c r="B6" s="4" t="n">
        <v>0</v>
      </c>
      <c r="C6" s="4" t="n">
        <v>0</v>
      </c>
      <c r="D6" s="4" t="inlineStr">
        <is>
          <t>CAC &lt; 客单 × 30%</t>
        </is>
      </c>
    </row>
    <row r="7">
      <c r="A7" s="4" t="inlineStr">
        <is>
          <t>复购率</t>
        </is>
      </c>
      <c r="B7" s="4" t="n">
        <v>0</v>
      </c>
      <c r="C7" s="4" t="n">
        <v>0</v>
      </c>
      <c r="D7" s="4" t="inlineStr">
        <is>
          <t>≥ 30%</t>
        </is>
      </c>
    </row>
    <row r="8">
      <c r="A8" s="4" t="inlineStr">
        <is>
          <t>时间ROI(元/小时)</t>
        </is>
      </c>
      <c r="B8" s="4" t="n">
        <v>0</v>
      </c>
      <c r="C8" s="4" t="n">
        <v>0</v>
      </c>
      <c r="D8" s="4" t="inlineStr">
        <is>
          <t>≥ 目标时薪 × 2</t>
        </is>
      </c>
    </row>
    <row r="9">
      <c r="A9" s="4" t="inlineStr">
        <is>
          <t>新增有效线索</t>
        </is>
      </c>
      <c r="B9" s="4" t="n">
        <v>0</v>
      </c>
      <c r="C9" s="4" t="n">
        <v>0</v>
      </c>
      <c r="D9" s="4" t="inlineStr">
        <is>
          <t>≥ 10 / 月</t>
        </is>
      </c>
    </row>
    <row r="12">
      <c r="A12" s="8" t="inlineStr">
        <is>
          <t>最薄弱环节（仪表盘最低分的那项）</t>
        </is>
      </c>
    </row>
    <row r="13">
      <c r="A13" s="9" t="inlineStr">
        <is>
          <t>下月 3 个调整动作：</t>
        </is>
      </c>
    </row>
    <row r="14">
      <c r="A14" t="inlineStr">
        <is>
          <t>1. ___</t>
        </is>
      </c>
    </row>
    <row r="15">
      <c r="A15" t="inlineStr">
        <is>
          <t>2. ___</t>
        </is>
      </c>
    </row>
    <row r="16">
      <c r="A16" t="inlineStr">
        <is>
          <t>3. ___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经营仪表盘（一眼看清现状）</t>
        </is>
      </c>
    </row>
    <row r="3">
      <c r="A3" s="3" t="inlineStr">
        <is>
          <t>维度</t>
        </is>
      </c>
      <c r="B3" s="3" t="inlineStr">
        <is>
          <t>当前评分(1-5)</t>
        </is>
      </c>
      <c r="C3" s="3" t="inlineStr">
        <is>
          <t>健康线</t>
        </is>
      </c>
      <c r="D3" s="3" t="inlineStr">
        <is>
          <t>差距</t>
        </is>
      </c>
    </row>
    <row r="4">
      <c r="A4" s="4" t="inlineStr">
        <is>
          <t>定位清晰度</t>
        </is>
      </c>
      <c r="B4" s="4" t="n">
        <v>3</v>
      </c>
      <c r="C4" s="4" t="n">
        <v>5</v>
      </c>
      <c r="D4" s="4">
        <f>B4-C4</f>
        <v/>
      </c>
    </row>
    <row r="5">
      <c r="A5" s="4" t="inlineStr">
        <is>
          <t>产品成熟度</t>
        </is>
      </c>
      <c r="B5" s="4" t="n">
        <v>3</v>
      </c>
      <c r="C5" s="4" t="n">
        <v>4</v>
      </c>
      <c r="D5" s="4">
        <f>B5-C5</f>
        <v/>
      </c>
    </row>
    <row r="6">
      <c r="A6" s="4" t="inlineStr">
        <is>
          <t>获客稳定性</t>
        </is>
      </c>
      <c r="B6" s="4" t="n">
        <v>3</v>
      </c>
      <c r="C6" s="4" t="n">
        <v>3</v>
      </c>
      <c r="D6" s="4">
        <f>B6-C6</f>
        <v/>
      </c>
    </row>
    <row r="7">
      <c r="A7" s="4" t="inlineStr">
        <is>
          <t>交付效率</t>
        </is>
      </c>
      <c r="B7" s="4" t="n">
        <v>3</v>
      </c>
      <c r="C7" s="4" t="n">
        <v>4</v>
      </c>
      <c r="D7" s="4">
        <f>B7-C7</f>
        <v/>
      </c>
    </row>
    <row r="8">
      <c r="A8" s="4" t="inlineStr">
        <is>
          <t>财务健康</t>
        </is>
      </c>
      <c r="B8" s="4" t="n">
        <v>3</v>
      </c>
      <c r="C8" s="4" t="n">
        <v>3</v>
      </c>
      <c r="D8" s="4">
        <f>B8-C8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2026-09-07T12:28:48Z</dcterms:created>
  <dcterms:modified xmlns:dcterms="http://purl.org/dc/terms/" xmlns:xsi="http://www.w3.org/2001/XMLSchema-instance" xsi:type="dcterms:W3CDTF">2026-09-07T12:28:48Z</dcterms:modified>
</cp:coreProperties>
</file>